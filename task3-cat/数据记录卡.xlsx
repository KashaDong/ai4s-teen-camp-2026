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ying/Library/Mobile Documents/com~apple~CloudDocs/十一/BNS/AI4S/final/1116_任务三_数据感知之“神秘的豹猫”/"/>
    </mc:Choice>
  </mc:AlternateContent>
  <xr:revisionPtr revIDLastSave="0" documentId="13_ncr:1_{4716333E-FE5A-8F41-9011-1345C40B6CC9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豹猫与美洲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5" i="1" l="1"/>
  <c r="H35" i="1"/>
  <c r="M32" i="1"/>
  <c r="H32" i="1"/>
  <c r="M29" i="1"/>
  <c r="H29" i="1"/>
  <c r="M26" i="1"/>
  <c r="H26" i="1"/>
  <c r="M23" i="1"/>
  <c r="H23" i="1"/>
  <c r="M20" i="1"/>
  <c r="H20" i="1"/>
  <c r="M17" i="1"/>
  <c r="H17" i="1"/>
  <c r="M14" i="1"/>
  <c r="H14" i="1"/>
  <c r="M11" i="1"/>
  <c r="H11" i="1"/>
  <c r="M8" i="1"/>
  <c r="P35" i="1" s="1"/>
  <c r="H8" i="1"/>
  <c r="M5" i="1"/>
  <c r="H5" i="1"/>
</calcChain>
</file>

<file path=xl/sharedStrings.xml><?xml version="1.0" encoding="utf-8"?>
<sst xmlns="http://schemas.openxmlformats.org/spreadsheetml/2006/main" count="110" uniqueCount="19">
  <si>
    <t>团队名称</t>
  </si>
  <si>
    <t>团队成员</t>
  </si>
  <si>
    <t>队长</t>
  </si>
  <si>
    <t>训练员</t>
  </si>
  <si>
    <t>训练集</t>
  </si>
  <si>
    <t>验证集</t>
  </si>
  <si>
    <t>测试集</t>
  </si>
  <si>
    <t>每个分类数量</t>
  </si>
  <si>
    <t>训练集中的编号</t>
  </si>
  <si>
    <t>真实情况</t>
  </si>
  <si>
    <t>预测结果</t>
  </si>
  <si>
    <t>验证准确率</t>
  </si>
  <si>
    <t>测试准确率</t>
  </si>
  <si>
    <t>示例：技能五</t>
  </si>
  <si>
    <t>示例：10</t>
  </si>
  <si>
    <t>示例：
虎猫：26-36
美洲豹：7、8、12、13、14-19</t>
  </si>
  <si>
    <t>虎猫</t>
  </si>
  <si>
    <t>美洲豹</t>
  </si>
  <si>
    <t>平均准确率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</si>
</sst>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0">
    <font>
      <sz val="10"/>
      <color theme="1"/>
      <name val="等线"/>
      <family val="2"/>
      <charset val="134"/>
      <scheme val="minor"/>
    </font>
    <font>
      <b/>
      <sz val="14"/>
      <color rgb="FFFFFFFF"/>
      <name val="等线"/>
      <family val="4"/>
      <charset val="134"/>
    </font>
    <font>
      <b/>
      <sz val="12"/>
      <color rgb="FFFFFFFF"/>
      <name val="等线"/>
      <family val="4"/>
      <charset val="134"/>
    </font>
    <font>
      <sz val="10"/>
      <color rgb="FF1F2329"/>
      <name val="等线"/>
      <family val="4"/>
      <charset val="134"/>
    </font>
    <font>
      <sz val="10"/>
      <name val="等线"/>
      <family val="4"/>
      <charset val="134"/>
    </font>
    <font>
      <sz val="9"/>
      <name val="等线"/>
      <family val="4"/>
      <charset val="134"/>
    </font>
    <font>
      <sz val="9"/>
      <color rgb="FF1F2329"/>
      <name val="等线"/>
      <family val="4"/>
      <charset val="134"/>
    </font>
    <font>
      <sz val="10"/>
      <name val="等线"/>
      <family val="4"/>
      <charset val="134"/>
    </font>
    <font>
      <b/>
      <sz val="30"/>
      <color rgb="FFFFFFFF"/>
      <name val="等线"/>
      <family val="4"/>
      <charset val="134"/>
    </font>
    <font>
      <sz val="9"/>
      <name val="等线"/>
      <family val="2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AD82F7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049FD7"/>
        <bgColor auto="1"/>
      </patternFill>
    </fill>
    <fill>
      <patternFill patternType="solid">
        <fgColor rgb="FF4E83FD"/>
        <bgColor auto="1"/>
      </patternFill>
    </fill>
    <fill>
      <patternFill patternType="solid">
        <fgColor rgb="FFF76964"/>
        <bgColor auto="1"/>
      </patternFill>
    </fill>
    <fill>
      <patternFill patternType="solid">
        <fgColor rgb="FFF8F9FA"/>
        <bgColor auto="1"/>
      </patternFill>
    </fill>
    <fill>
      <patternFill patternType="none">
        <fgColor auto="1"/>
        <bgColor auto="1"/>
      </patternFill>
    </fill>
    <fill>
      <patternFill patternType="solid">
        <fgColor rgb="FFBACEFD"/>
        <bgColor auto="1"/>
      </patternFill>
    </fill>
    <fill>
      <patternFill patternType="solid">
        <fgColor rgb="FFFBBFBC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54A45"/>
        <bgColor auto="1"/>
      </patternFill>
    </fill>
  </fills>
  <borders count="8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FF8800"/>
      </left>
      <right style="thin">
        <color rgb="FFDEE0E3"/>
      </right>
      <top style="thin">
        <color rgb="FFFF8800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FF8800"/>
      </top>
      <bottom style="thin">
        <color rgb="FFDEE0E3"/>
      </bottom>
      <diagonal/>
    </border>
    <border>
      <left style="thin">
        <color rgb="FFDEE0E3"/>
      </left>
      <right style="thin">
        <color rgb="FFFF8800"/>
      </right>
      <top style="thin">
        <color rgb="FFFF8800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/>
      <diagonal/>
    </border>
    <border>
      <left style="thin">
        <color rgb="FFDEE0E3"/>
      </left>
      <right style="thin">
        <color rgb="FFDEE0E3"/>
      </right>
      <top/>
      <bottom/>
      <diagonal/>
    </border>
    <border>
      <left style="thin">
        <color rgb="FFDEE0E3"/>
      </left>
      <right style="thin">
        <color rgb="FFDEE0E3"/>
      </right>
      <top/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4" borderId="1" xfId="0" applyFont="1" applyFill="1" applyBorder="1">
      <alignment vertical="center"/>
    </xf>
    <xf numFmtId="0" fontId="2" fillId="5" borderId="1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2" fillId="9" borderId="3" xfId="0" applyFont="1" applyFill="1" applyBorder="1" applyAlignment="1">
      <alignment vertical="top"/>
    </xf>
    <xf numFmtId="0" fontId="2" fillId="10" borderId="3" xfId="0" applyFont="1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2" fillId="9" borderId="1" xfId="0" applyFont="1" applyFill="1" applyBorder="1" applyAlignment="1">
      <alignment vertical="top"/>
    </xf>
    <xf numFmtId="0" fontId="0" fillId="7" borderId="1" xfId="0" applyFill="1" applyBorder="1" applyAlignment="1">
      <alignment vertical="top"/>
    </xf>
    <xf numFmtId="0" fontId="2" fillId="10" borderId="1" xfId="0" applyFont="1" applyFill="1" applyBorder="1" applyAlignment="1">
      <alignment vertical="top"/>
    </xf>
    <xf numFmtId="0" fontId="5" fillId="0" borderId="1" xfId="0" applyFont="1" applyBorder="1" applyAlignment="1">
      <alignment vertical="top"/>
    </xf>
    <xf numFmtId="0" fontId="2" fillId="5" borderId="1" xfId="0" applyFont="1" applyFill="1" applyBorder="1" applyAlignment="1">
      <alignment vertical="top"/>
    </xf>
    <xf numFmtId="0" fontId="2" fillId="6" borderId="1" xfId="0" applyFont="1" applyFill="1" applyBorder="1" applyAlignment="1">
      <alignment vertical="top"/>
    </xf>
    <xf numFmtId="0" fontId="5" fillId="8" borderId="1" xfId="0" applyFont="1" applyFill="1" applyBorder="1" applyAlignment="1">
      <alignment vertical="top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vertical="top"/>
    </xf>
    <xf numFmtId="0" fontId="0" fillId="0" borderId="1" xfId="0" applyBorder="1">
      <alignment vertical="center"/>
    </xf>
    <xf numFmtId="0" fontId="4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8" fillId="12" borderId="1" xfId="0" applyFont="1" applyFill="1" applyBorder="1">
      <alignment vertical="center"/>
    </xf>
    <xf numFmtId="176" fontId="8" fillId="12" borderId="1" xfId="0" applyNumberFormat="1" applyFont="1" applyFill="1" applyBorder="1">
      <alignment vertical="center"/>
    </xf>
    <xf numFmtId="10" fontId="0" fillId="7" borderId="1" xfId="0" applyNumberFormat="1" applyFill="1" applyBorder="1" applyAlignment="1">
      <alignment vertical="top"/>
    </xf>
    <xf numFmtId="0" fontId="0" fillId="11" borderId="1" xfId="0" applyFill="1" applyBorder="1">
      <alignment vertical="center"/>
    </xf>
    <xf numFmtId="10" fontId="0" fillId="7" borderId="4" xfId="0" applyNumberFormat="1" applyFill="1" applyBorder="1" applyAlignment="1">
      <alignment vertical="top"/>
    </xf>
    <xf numFmtId="0" fontId="0" fillId="11" borderId="4" xfId="0" applyFill="1" applyBorder="1">
      <alignment vertical="center"/>
    </xf>
    <xf numFmtId="0" fontId="3" fillId="3" borderId="5" xfId="0" applyFont="1" applyFill="1" applyBorder="1" applyAlignment="1">
      <alignment vertical="top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6" fillId="0" borderId="5" xfId="0" applyFont="1" applyBorder="1" applyAlignment="1">
      <alignment vertical="top"/>
    </xf>
    <xf numFmtId="0" fontId="3" fillId="3" borderId="1" xfId="0" applyFont="1" applyFill="1" applyBorder="1" applyAlignment="1">
      <alignment vertical="top"/>
    </xf>
    <xf numFmtId="0" fontId="6" fillId="0" borderId="1" xfId="0" applyFont="1" applyBorder="1" applyAlignment="1">
      <alignment vertical="top"/>
    </xf>
    <xf numFmtId="0" fontId="7" fillId="11" borderId="1" xfId="0" applyFont="1" applyFill="1" applyBorder="1">
      <alignment vertical="center"/>
    </xf>
    <xf numFmtId="0" fontId="1" fillId="2" borderId="1" xfId="0" applyFont="1" applyFill="1" applyBorder="1">
      <alignment vertical="center"/>
    </xf>
    <xf numFmtId="0" fontId="1" fillId="4" borderId="1" xfId="0" applyFont="1" applyFill="1" applyBorder="1">
      <alignment vertical="center"/>
    </xf>
    <xf numFmtId="0" fontId="1" fillId="5" borderId="1" xfId="0" applyFont="1" applyFill="1" applyBorder="1">
      <alignment vertical="center"/>
    </xf>
    <xf numFmtId="0" fontId="1" fillId="6" borderId="1" xfId="0" applyFont="1" applyFill="1" applyBorder="1">
      <alignment vertical="center"/>
    </xf>
    <xf numFmtId="0" fontId="2" fillId="5" borderId="1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0" fillId="7" borderId="2" xfId="0" applyFill="1" applyBorder="1" applyAlignment="1">
      <alignment vertical="top"/>
    </xf>
    <xf numFmtId="0" fontId="0" fillId="0" borderId="2" xfId="0" applyBorder="1">
      <alignment vertical="center"/>
    </xf>
    <xf numFmtId="0" fontId="3" fillId="7" borderId="3" xfId="0" applyFont="1" applyFill="1" applyBorder="1" applyAlignment="1">
      <alignment vertical="top"/>
    </xf>
    <xf numFmtId="0" fontId="0" fillId="0" borderId="3" xfId="0" applyBorder="1">
      <alignment vertical="center"/>
    </xf>
    <xf numFmtId="0" fontId="4" fillId="7" borderId="3" xfId="0" applyFont="1" applyFill="1" applyBorder="1" applyAlignment="1">
      <alignment vertical="top" wrapText="1"/>
    </xf>
    <xf numFmtId="0" fontId="0" fillId="8" borderId="1" xfId="0" applyFill="1" applyBorder="1" applyAlignment="1">
      <alignment vertical="top"/>
    </xf>
    <xf numFmtId="10" fontId="0" fillId="7" borderId="1" xfId="0" applyNumberFormat="1" applyFill="1" applyBorder="1" applyAlignment="1">
      <alignment horizontal="right" vertical="top"/>
    </xf>
    <xf numFmtId="10" fontId="0" fillId="7" borderId="4" xfId="0" applyNumberFormat="1" applyFill="1" applyBorder="1" applyAlignment="1">
      <alignment horizontal="right" vertical="top"/>
    </xf>
    <xf numFmtId="0" fontId="0" fillId="0" borderId="4" xfId="0" applyBorder="1">
      <alignment vertical="center"/>
    </xf>
    <xf numFmtId="0" fontId="5" fillId="8" borderId="1" xfId="0" applyFont="1" applyFill="1" applyBorder="1" applyAlignment="1">
      <alignment vertical="top"/>
    </xf>
    <xf numFmtId="0" fontId="7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 anchorCtr="0"/>
          <a:lstStyle/>
          <a:p>
            <a:pPr lvl="0">
              <a:defRPr sz="1950" b="1" i="0">
                <a:solidFill>
                  <a:srgbClr val="000000"/>
                </a:solidFill>
              </a:defRPr>
            </a:pPr>
            <a:r>
              <a:rPr lang="zh-CN" altLang="en-US"/>
              <a:t>训练量与准确率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测试准确率</c:v>
          </c:tx>
          <c:spPr>
            <a:ln>
              <a:solidFill>
                <a:schemeClr val="accent2"/>
              </a:solidFill>
              <a:headEnd/>
              <a:tailEnd/>
            </a:ln>
          </c:spPr>
          <c:marker>
            <c:symbol val="circle"/>
            <c:size val="5"/>
            <c:spPr>
              <a:solidFill>
                <a:schemeClr val="accent2">
                  <a:shade val="31000"/>
                </a:schemeClr>
              </a:solidFill>
              <a:ln>
                <a:solidFill>
                  <a:schemeClr val="accent2">
                    <a:shade val="31000"/>
                  </a:schemeClr>
                </a:solidFill>
                <a:headEnd/>
                <a:tailEnd/>
              </a:ln>
            </c:spPr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2CFC-4F4B-8AD3-98CB473ACA43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2CFC-4F4B-8AD3-98CB473ACA43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2CFC-4F4B-8AD3-98CB473ACA43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2CFC-4F4B-8AD3-98CB473ACA43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2CFC-4F4B-8AD3-98CB473ACA43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5-2CFC-4F4B-8AD3-98CB473ACA43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6-2CFC-4F4B-8AD3-98CB473ACA43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7-2CFC-4F4B-8AD3-98CB473ACA43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8-2CFC-4F4B-8AD3-98CB473ACA43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9-2CFC-4F4B-8AD3-98CB473ACA43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A-2CFC-4F4B-8AD3-98CB473ACA43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B-2CFC-4F4B-8AD3-98CB473ACA43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0C-2CFC-4F4B-8AD3-98CB473ACA43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0D-2CFC-4F4B-8AD3-98CB473ACA43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0E-2CFC-4F4B-8AD3-98CB473ACA43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0F-2CFC-4F4B-8AD3-98CB473ACA43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10-2CFC-4F4B-8AD3-98CB473ACA43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11-2CFC-4F4B-8AD3-98CB473ACA43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12-2CFC-4F4B-8AD3-98CB473ACA43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13-2CFC-4F4B-8AD3-98CB473ACA43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14-2CFC-4F4B-8AD3-98CB473ACA43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15-2CFC-4F4B-8AD3-98CB473ACA43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16-2CFC-4F4B-8AD3-98CB473ACA43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17-2CFC-4F4B-8AD3-98CB473ACA43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018-2CFC-4F4B-8AD3-98CB473ACA43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019-2CFC-4F4B-8AD3-98CB473ACA43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01A-2CFC-4F4B-8AD3-98CB473ACA43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01B-2CFC-4F4B-8AD3-98CB473ACA43}"/>
              </c:ext>
            </c:extLst>
          </c:dPt>
          <c:dLbls>
            <c:dLbl>
              <c:idx val="0"/>
              <c:spPr/>
              <c:txPr>
                <a:bodyPr anchorCtr="0"/>
                <a:lstStyle/>
                <a:p>
                  <a:pPr lvl="0">
                    <a:defRPr sz="1200" b="0" i="0">
                      <a:solidFill>
                        <a:srgbClr val="000000"/>
                      </a:solidFill>
                    </a:defRPr>
                  </a:pPr>
                  <a:endParaRPr lang="zh-CN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2CFC-4F4B-8AD3-98CB473ACA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anchorCtr="0"/>
              <a:lstStyle/>
              <a:p>
                <a:pPr lvl="0">
                  <a:defRPr sz="1200" b="0" i="0">
                    <a:solidFill>
                      <a:srgbClr val="000000"/>
                    </a:solidFill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豹猫与美洲豹!$B$8:$B$37</c:f>
              <c:numCache>
                <c:formatCode>General</c:formatCode>
                <c:ptCount val="30"/>
                <c:pt idx="0">
                  <c:v>10</c:v>
                </c:pt>
                <c:pt idx="3">
                  <c:v>20</c:v>
                </c:pt>
                <c:pt idx="6">
                  <c:v>30</c:v>
                </c:pt>
                <c:pt idx="9">
                  <c:v>40</c:v>
                </c:pt>
                <c:pt idx="12">
                  <c:v>50</c:v>
                </c:pt>
                <c:pt idx="15">
                  <c:v>75</c:v>
                </c:pt>
                <c:pt idx="18">
                  <c:v>100</c:v>
                </c:pt>
                <c:pt idx="21">
                  <c:v>125</c:v>
                </c:pt>
                <c:pt idx="24">
                  <c:v>150</c:v>
                </c:pt>
                <c:pt idx="27">
                  <c:v>175</c:v>
                </c:pt>
              </c:numCache>
            </c:numRef>
          </c:xVal>
          <c:yVal>
            <c:numRef>
              <c:f>豹猫与美洲豹!$M$8:$M$37</c:f>
              <c:numCache>
                <c:formatCode>General</c:formatCode>
                <c:ptCount val="30"/>
                <c:pt idx="0" formatCode="0.00%">
                  <c:v>0</c:v>
                </c:pt>
                <c:pt idx="3" formatCode="0.00%">
                  <c:v>0</c:v>
                </c:pt>
                <c:pt idx="6" formatCode="0.00%">
                  <c:v>0</c:v>
                </c:pt>
                <c:pt idx="9" formatCode="0.00%">
                  <c:v>0</c:v>
                </c:pt>
                <c:pt idx="12" formatCode="0.00%">
                  <c:v>0</c:v>
                </c:pt>
                <c:pt idx="15" formatCode="0.00%">
                  <c:v>0</c:v>
                </c:pt>
                <c:pt idx="18" formatCode="0.00%">
                  <c:v>0</c:v>
                </c:pt>
                <c:pt idx="21" formatCode="0.00%">
                  <c:v>0</c:v>
                </c:pt>
                <c:pt idx="24" formatCode="0.00%">
                  <c:v>0</c:v>
                </c:pt>
                <c:pt idx="27" formatCode="0.00%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C-2CFC-4F4B-8AD3-98CB473ACA4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840133419"/>
        <c:axId val="512544134"/>
      </c:scatterChart>
      <c:valAx>
        <c:axId val="840133419"/>
        <c:scaling>
          <c:orientation val="minMax"/>
        </c:scaling>
        <c:delete val="0"/>
        <c:axPos val="b"/>
        <c:minorGridlines>
          <c:spPr>
            <a:ln w="9525" cap="flat">
              <a:solidFill>
                <a:schemeClr val="tx1">
                  <a:lumMod val="5000"/>
                  <a:lumOff val="95000"/>
                </a:schemeClr>
              </a:solidFill>
              <a:headEnd/>
              <a:tailEnd/>
            </a:ln>
          </c:spPr>
        </c:minorGridlines>
        <c:title>
          <c:tx>
            <c:rich>
              <a:bodyPr anchorCtr="0"/>
              <a:lstStyle/>
              <a:p>
                <a:pPr lvl="0">
                  <a:defRPr sz="1200" b="0" i="0">
                    <a:solidFill>
                      <a:srgbClr val="000000"/>
                    </a:solidFill>
                  </a:defRPr>
                </a:pPr>
                <a:r>
                  <a:rPr lang="zh-CN" altLang="en-US"/>
                  <a:t>训练量</a:t>
                </a:r>
              </a:p>
            </c:rich>
          </c:tx>
          <c:overlay val="1"/>
        </c:title>
        <c:numFmt formatCode="General" sourceLinked="1"/>
        <c:majorTickMark val="cross"/>
        <c:minorTickMark val="cross"/>
        <c:tickLblPos val="nextTo"/>
        <c:txPr>
          <a:bodyPr anchorCtr="0"/>
          <a:lstStyle/>
          <a:p>
            <a:pPr lvl="0">
              <a:defRPr sz="1200" b="0" i="0">
                <a:solidFill>
                  <a:srgbClr val="000000"/>
                </a:solidFill>
              </a:defRPr>
            </a:pPr>
            <a:endParaRPr lang="zh-CN"/>
          </a:p>
        </c:txPr>
        <c:crossAx val="512544134"/>
        <c:crosses val="autoZero"/>
        <c:crossBetween val="between"/>
      </c:valAx>
      <c:catAx>
        <c:axId val="512544134"/>
        <c:scaling>
          <c:orientation val="minMax"/>
          <c:max val="1"/>
          <c:min val="0"/>
        </c:scaling>
        <c:delete val="0"/>
        <c:axPos val="l"/>
        <c:title>
          <c:tx>
            <c:rich>
              <a:bodyPr anchorCtr="0"/>
              <a:lstStyle/>
              <a:p>
                <a:pPr lvl="0">
                  <a:defRPr sz="1200" b="0" i="0">
                    <a:solidFill>
                      <a:srgbClr val="000000"/>
                    </a:solidFill>
                  </a:defRPr>
                </a:pPr>
                <a:r>
                  <a:rPr lang="zh-CN" altLang="en-US"/>
                  <a:t>准确率</a:t>
                </a:r>
              </a:p>
            </c:rich>
          </c:tx>
          <c:overlay val="1"/>
        </c:title>
        <c:numFmt formatCode="0%" sourceLinked="1"/>
        <c:majorTickMark val="cross"/>
        <c:minorTickMark val="cross"/>
        <c:tickLblPos val="nextTo"/>
        <c:txPr>
          <a:bodyPr anchorCtr="0"/>
          <a:lstStyle/>
          <a:p>
            <a:pPr lvl="0">
              <a:defRPr sz="1200" b="0" i="0">
                <a:solidFill>
                  <a:srgbClr val="000000"/>
                </a:solidFill>
              </a:defRPr>
            </a:pPr>
            <a:endParaRPr lang="zh-CN"/>
          </a:p>
        </c:txPr>
        <c:crossAx val="840133419"/>
        <c:crosses val="autoZero"/>
        <c:auto val="1"/>
        <c:lblAlgn val="ctr"/>
        <c:lblOffset val="100"/>
        <c:noMultiLvlLbl val="1"/>
      </c:catAx>
    </c:plotArea>
    <c:legend>
      <c:legendPos val="b"/>
      <c:overlay val="0"/>
      <c:txPr>
        <a:bodyPr anchorCtr="0"/>
        <a:lstStyle/>
        <a:p>
          <a:pPr lvl="0">
            <a:defRPr sz="1200" b="0" i="0"/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>
      <a:solidFill>
        <a:srgbClr val="999999"/>
      </a:solidFill>
      <a:headEnd/>
      <a:tailEnd/>
    </a:ln>
  </c:spPr>
  <c:txPr>
    <a:bodyPr anchorCtr="0"/>
    <a:lstStyle/>
    <a:p>
      <a:pPr lvl="0">
        <a:defRPr sz="1200" b="0" i="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779474</xdr:colOff>
      <xdr:row>11</xdr:row>
      <xdr:rowOff>177889</xdr:rowOff>
    </xdr:from>
    <xdr:to>
      <xdr:col>17</xdr:col>
      <xdr:colOff>531031</xdr:colOff>
      <xdr:row>24</xdr:row>
      <xdr:rowOff>12849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豹猫与美洲豹">
    <tabColor rgb="FFFFFFFF"/>
  </sheetPr>
  <dimension ref="A1:V199"/>
  <sheetViews>
    <sheetView tabSelected="1" workbookViewId="0">
      <pane xSplit="13" ySplit="7" topLeftCell="N8" activePane="bottomRight" state="frozen"/>
      <selection pane="topRight"/>
      <selection pane="bottomLeft"/>
      <selection pane="bottomRight" activeCell="N8" sqref="N8"/>
    </sheetView>
  </sheetViews>
  <sheetFormatPr baseColWidth="10" defaultRowHeight="16"/>
  <cols>
    <col min="1" max="1" width="14.796875" customWidth="1"/>
    <col min="2" max="2" width="15.796875" customWidth="1"/>
    <col min="3" max="3" width="17.796875" customWidth="1"/>
    <col min="4" max="4" width="13.796875" customWidth="1"/>
    <col min="5" max="5" width="12" customWidth="1"/>
    <col min="6" max="6" width="8.19921875" customWidth="1"/>
    <col min="7" max="7" width="8.59765625" customWidth="1"/>
    <col min="8" max="8" width="12.59765625" customWidth="1"/>
    <col min="9" max="9" width="14.19921875" customWidth="1"/>
    <col min="10" max="10" width="13" customWidth="1"/>
    <col min="11" max="11" width="9.3984375" customWidth="1"/>
    <col min="12" max="12" width="8.796875" customWidth="1"/>
    <col min="13" max="13" width="12.796875" customWidth="1"/>
    <col min="14" max="14" width="14.796875" customWidth="1"/>
    <col min="15" max="15" width="41.796875" customWidth="1"/>
    <col min="16" max="16" width="21.796875" customWidth="1"/>
    <col min="17" max="22" width="14.796875" customWidth="1"/>
  </cols>
  <sheetData>
    <row r="1" spans="1:22" ht="25.5" customHeight="1">
      <c r="A1" s="1" t="s">
        <v>0</v>
      </c>
      <c r="B1" s="36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2"/>
      <c r="O1" s="2"/>
      <c r="P1" s="2"/>
      <c r="Q1" s="2"/>
      <c r="R1" s="2"/>
      <c r="S1" s="2"/>
      <c r="T1" s="2"/>
      <c r="U1" s="2"/>
      <c r="V1" s="2"/>
    </row>
    <row r="2" spans="1:22" ht="25.5" customHeight="1">
      <c r="A2" s="1" t="s">
        <v>1</v>
      </c>
      <c r="B2" s="1" t="s">
        <v>2</v>
      </c>
      <c r="C2" s="3"/>
      <c r="D2" s="1" t="s">
        <v>3</v>
      </c>
      <c r="E2" s="3"/>
      <c r="F2" s="1"/>
      <c r="G2" s="1"/>
      <c r="H2" s="1"/>
      <c r="I2" s="1"/>
      <c r="J2" s="1"/>
      <c r="K2" s="1"/>
      <c r="L2" s="1"/>
      <c r="M2" s="1"/>
      <c r="N2" s="2"/>
      <c r="O2" s="2"/>
      <c r="P2" s="2"/>
      <c r="Q2" s="2"/>
      <c r="R2" s="2"/>
      <c r="S2" s="2"/>
      <c r="T2" s="2"/>
      <c r="U2" s="2"/>
      <c r="V2" s="2"/>
    </row>
    <row r="3" spans="1:22" ht="25.5" customHeight="1">
      <c r="A3" s="37" t="s">
        <v>3</v>
      </c>
      <c r="B3" s="37" t="s">
        <v>4</v>
      </c>
      <c r="C3" s="19"/>
      <c r="D3" s="38" t="s">
        <v>5</v>
      </c>
      <c r="E3" s="19"/>
      <c r="F3" s="19"/>
      <c r="G3" s="19"/>
      <c r="H3" s="19"/>
      <c r="I3" s="39" t="s">
        <v>6</v>
      </c>
      <c r="J3" s="19"/>
      <c r="K3" s="19"/>
      <c r="L3" s="19"/>
      <c r="M3" s="19"/>
      <c r="N3" s="2"/>
      <c r="O3" s="2"/>
      <c r="P3" s="2"/>
      <c r="Q3" s="2"/>
      <c r="R3" s="2"/>
      <c r="S3" s="2"/>
      <c r="T3" s="2"/>
      <c r="U3" s="2"/>
      <c r="V3" s="2"/>
    </row>
    <row r="4" spans="1:22" ht="20.25" customHeight="1">
      <c r="A4" s="19"/>
      <c r="B4" s="4" t="s">
        <v>7</v>
      </c>
      <c r="C4" s="4" t="s">
        <v>8</v>
      </c>
      <c r="D4" s="5" t="s">
        <v>7</v>
      </c>
      <c r="E4" s="5" t="s">
        <v>9</v>
      </c>
      <c r="F4" s="40" t="s">
        <v>10</v>
      </c>
      <c r="G4" s="19"/>
      <c r="H4" s="5" t="s">
        <v>11</v>
      </c>
      <c r="I4" s="6" t="s">
        <v>7</v>
      </c>
      <c r="J4" s="6" t="s">
        <v>9</v>
      </c>
      <c r="K4" s="41" t="s">
        <v>10</v>
      </c>
      <c r="L4" s="19"/>
      <c r="M4" s="6" t="s">
        <v>12</v>
      </c>
      <c r="N4" s="2"/>
      <c r="O4" s="2"/>
      <c r="P4" s="2"/>
      <c r="Q4" s="2"/>
      <c r="R4" s="2"/>
      <c r="S4" s="2"/>
      <c r="T4" s="2"/>
      <c r="U4" s="2"/>
      <c r="V4" s="2"/>
    </row>
    <row r="5" spans="1:22" ht="20.25" customHeight="1">
      <c r="A5" s="42" t="s">
        <v>13</v>
      </c>
      <c r="B5" s="44" t="s">
        <v>14</v>
      </c>
      <c r="C5" s="46" t="s">
        <v>15</v>
      </c>
      <c r="D5" s="47">
        <v>15</v>
      </c>
      <c r="E5" s="7"/>
      <c r="F5" s="7" t="s">
        <v>16</v>
      </c>
      <c r="G5" s="7" t="s">
        <v>17</v>
      </c>
      <c r="H5" s="48">
        <f>(F6+G7)/(D5*2)</f>
        <v>0.8</v>
      </c>
      <c r="I5" s="47">
        <v>15</v>
      </c>
      <c r="J5" s="8"/>
      <c r="K5" s="8" t="s">
        <v>16</v>
      </c>
      <c r="L5" s="8" t="s">
        <v>17</v>
      </c>
      <c r="M5" s="49">
        <f>(K6+L7)/(I5*2)</f>
        <v>0.53333333333333333</v>
      </c>
      <c r="N5" s="9"/>
      <c r="O5" s="9"/>
      <c r="P5" s="9"/>
      <c r="Q5" s="9"/>
      <c r="R5" s="9"/>
      <c r="S5" s="9"/>
      <c r="T5" s="9"/>
      <c r="U5" s="9"/>
      <c r="V5" s="9"/>
    </row>
    <row r="6" spans="1:22" ht="20.25" customHeight="1">
      <c r="A6" s="43"/>
      <c r="B6" s="45"/>
      <c r="C6" s="45"/>
      <c r="D6" s="19"/>
      <c r="E6" s="10" t="s">
        <v>16</v>
      </c>
      <c r="F6" s="11">
        <v>12</v>
      </c>
      <c r="G6" s="11">
        <v>3</v>
      </c>
      <c r="H6" s="19"/>
      <c r="I6" s="19"/>
      <c r="J6" s="12" t="s">
        <v>16</v>
      </c>
      <c r="K6" s="11">
        <v>12</v>
      </c>
      <c r="L6" s="11">
        <v>3</v>
      </c>
      <c r="M6" s="50"/>
      <c r="N6" s="9"/>
      <c r="O6" s="9"/>
      <c r="P6" s="9"/>
      <c r="Q6" s="9"/>
      <c r="R6" s="9"/>
      <c r="S6" s="9"/>
      <c r="T6" s="9"/>
      <c r="U6" s="9"/>
      <c r="V6" s="9"/>
    </row>
    <row r="7" spans="1:22" ht="20.25" customHeight="1">
      <c r="A7" s="43"/>
      <c r="B7" s="45"/>
      <c r="C7" s="45"/>
      <c r="D7" s="19"/>
      <c r="E7" s="10" t="s">
        <v>17</v>
      </c>
      <c r="F7" s="11">
        <v>3</v>
      </c>
      <c r="G7" s="11">
        <v>12</v>
      </c>
      <c r="H7" s="19"/>
      <c r="I7" s="19"/>
      <c r="J7" s="12" t="s">
        <v>17</v>
      </c>
      <c r="K7" s="11">
        <v>9</v>
      </c>
      <c r="L7" s="11">
        <v>4</v>
      </c>
      <c r="M7" s="50"/>
      <c r="N7" s="9"/>
      <c r="O7" s="9"/>
      <c r="P7" s="9"/>
      <c r="Q7" s="9"/>
      <c r="R7" s="9"/>
      <c r="S7" s="9"/>
      <c r="T7" s="9"/>
      <c r="U7" s="9"/>
      <c r="V7" s="9"/>
    </row>
    <row r="8" spans="1:22" ht="23.25" customHeight="1">
      <c r="A8" s="18"/>
      <c r="B8" s="32">
        <v>10</v>
      </c>
      <c r="C8" s="20"/>
      <c r="D8" s="18">
        <v>15</v>
      </c>
      <c r="E8" s="14"/>
      <c r="F8" s="14" t="s">
        <v>16</v>
      </c>
      <c r="G8" s="14" t="s">
        <v>17</v>
      </c>
      <c r="H8" s="25">
        <f>(F9+G10)/(D8*2)</f>
        <v>0</v>
      </c>
      <c r="I8" s="18">
        <v>15</v>
      </c>
      <c r="J8" s="15"/>
      <c r="K8" s="15" t="s">
        <v>16</v>
      </c>
      <c r="L8" s="15" t="s">
        <v>17</v>
      </c>
      <c r="M8" s="27">
        <f>(K9+L10)/(I8*2)</f>
        <v>0</v>
      </c>
      <c r="N8" s="13"/>
      <c r="O8" s="13"/>
      <c r="P8" s="13"/>
      <c r="Q8" s="13"/>
      <c r="R8" s="13"/>
      <c r="S8" s="13"/>
      <c r="T8" s="13"/>
      <c r="U8" s="13"/>
      <c r="V8" s="13"/>
    </row>
    <row r="9" spans="1:22" ht="23.25" customHeight="1">
      <c r="A9" s="19"/>
      <c r="B9" s="30"/>
      <c r="C9" s="19"/>
      <c r="D9" s="19"/>
      <c r="E9" s="14" t="s">
        <v>16</v>
      </c>
      <c r="F9" s="13"/>
      <c r="G9" s="13"/>
      <c r="H9" s="26"/>
      <c r="I9" s="19"/>
      <c r="J9" s="15" t="s">
        <v>16</v>
      </c>
      <c r="K9" s="13"/>
      <c r="L9" s="13"/>
      <c r="M9" s="28"/>
      <c r="N9" s="13"/>
      <c r="O9" s="13"/>
      <c r="P9" s="13"/>
      <c r="Q9" s="13"/>
      <c r="R9" s="13"/>
      <c r="S9" s="13"/>
      <c r="T9" s="13"/>
      <c r="U9" s="13"/>
      <c r="V9" s="13"/>
    </row>
    <row r="10" spans="1:22" ht="23.25" customHeight="1">
      <c r="A10" s="19"/>
      <c r="B10" s="31"/>
      <c r="C10" s="19"/>
      <c r="D10" s="19"/>
      <c r="E10" s="14" t="s">
        <v>17</v>
      </c>
      <c r="F10" s="13"/>
      <c r="G10" s="13"/>
      <c r="H10" s="26"/>
      <c r="I10" s="19"/>
      <c r="J10" s="15" t="s">
        <v>17</v>
      </c>
      <c r="K10" s="13"/>
      <c r="L10" s="13"/>
      <c r="M10" s="28"/>
      <c r="N10" s="13"/>
      <c r="O10" s="13"/>
      <c r="P10" s="13"/>
      <c r="Q10" s="13"/>
      <c r="R10" s="13"/>
      <c r="S10" s="13"/>
      <c r="T10" s="13"/>
      <c r="U10" s="13"/>
      <c r="V10" s="13"/>
    </row>
    <row r="11" spans="1:22" ht="23.25" customHeight="1">
      <c r="A11" s="21"/>
      <c r="B11" s="29">
        <v>20</v>
      </c>
      <c r="C11" s="20"/>
      <c r="D11" s="51">
        <v>15</v>
      </c>
      <c r="E11" s="14"/>
      <c r="F11" s="14" t="s">
        <v>16</v>
      </c>
      <c r="G11" s="14" t="s">
        <v>17</v>
      </c>
      <c r="H11" s="25">
        <f>(F12+G13)/(D11*2)</f>
        <v>0</v>
      </c>
      <c r="I11" s="51">
        <v>15</v>
      </c>
      <c r="J11" s="15"/>
      <c r="K11" s="15" t="s">
        <v>16</v>
      </c>
      <c r="L11" s="15" t="s">
        <v>17</v>
      </c>
      <c r="M11" s="27">
        <f>(K12+L13)/(I11*2)</f>
        <v>0</v>
      </c>
      <c r="N11" s="2"/>
      <c r="O11" s="2"/>
      <c r="P11" s="2"/>
      <c r="Q11" s="2"/>
      <c r="R11" s="2"/>
      <c r="S11" s="2"/>
      <c r="T11" s="2"/>
      <c r="U11" s="2"/>
      <c r="V11" s="2"/>
    </row>
    <row r="12" spans="1:22" ht="23.25" customHeight="1">
      <c r="A12" s="19"/>
      <c r="B12" s="30"/>
      <c r="C12" s="35"/>
      <c r="D12" s="26"/>
      <c r="E12" s="14" t="s">
        <v>16</v>
      </c>
      <c r="F12" s="16"/>
      <c r="G12" s="16"/>
      <c r="H12" s="26"/>
      <c r="I12" s="26"/>
      <c r="J12" s="15" t="s">
        <v>16</v>
      </c>
      <c r="K12" s="16"/>
      <c r="L12" s="16"/>
      <c r="M12" s="28"/>
      <c r="N12" s="2"/>
      <c r="O12" s="2"/>
      <c r="P12" s="2"/>
      <c r="Q12" s="2"/>
      <c r="R12" s="2"/>
      <c r="S12" s="2"/>
      <c r="T12" s="2"/>
      <c r="U12" s="2"/>
      <c r="V12" s="2"/>
    </row>
    <row r="13" spans="1:22" ht="23.25" customHeight="1">
      <c r="A13" s="19"/>
      <c r="B13" s="31"/>
      <c r="C13" s="35"/>
      <c r="D13" s="26"/>
      <c r="E13" s="14" t="s">
        <v>17</v>
      </c>
      <c r="F13" s="16"/>
      <c r="G13" s="16"/>
      <c r="H13" s="26"/>
      <c r="I13" s="26"/>
      <c r="J13" s="15" t="s">
        <v>17</v>
      </c>
      <c r="K13" s="16"/>
      <c r="L13" s="16"/>
      <c r="M13" s="28"/>
      <c r="N13" s="2"/>
      <c r="O13" s="2"/>
      <c r="P13" s="2"/>
      <c r="Q13" s="2"/>
      <c r="R13" s="2"/>
      <c r="S13" s="2"/>
      <c r="T13" s="2"/>
      <c r="U13" s="2"/>
      <c r="V13" s="2"/>
    </row>
    <row r="14" spans="1:22" ht="23.25" customHeight="1">
      <c r="A14" s="21"/>
      <c r="B14" s="29">
        <v>30</v>
      </c>
      <c r="C14" s="20"/>
      <c r="D14" s="51">
        <v>15</v>
      </c>
      <c r="E14" s="14"/>
      <c r="F14" s="14" t="s">
        <v>16</v>
      </c>
      <c r="G14" s="14" t="s">
        <v>17</v>
      </c>
      <c r="H14" s="25">
        <f>(F15+G16)/(D14*2)</f>
        <v>0</v>
      </c>
      <c r="I14" s="51">
        <v>15</v>
      </c>
      <c r="J14" s="15"/>
      <c r="K14" s="15" t="s">
        <v>16</v>
      </c>
      <c r="L14" s="15" t="s">
        <v>17</v>
      </c>
      <c r="M14" s="27">
        <f>(K15+L16)/(I14*2)</f>
        <v>0</v>
      </c>
      <c r="N14" s="2"/>
      <c r="O14" s="2"/>
      <c r="P14" s="2"/>
      <c r="Q14" s="2"/>
      <c r="R14" s="2"/>
      <c r="S14" s="2"/>
      <c r="T14" s="2"/>
      <c r="U14" s="2"/>
      <c r="V14" s="2"/>
    </row>
    <row r="15" spans="1:22" ht="23.25" customHeight="1">
      <c r="A15" s="19"/>
      <c r="B15" s="30"/>
      <c r="C15" s="35"/>
      <c r="D15" s="26"/>
      <c r="E15" s="14" t="s">
        <v>16</v>
      </c>
      <c r="F15" s="16"/>
      <c r="G15" s="16"/>
      <c r="H15" s="26"/>
      <c r="I15" s="26"/>
      <c r="J15" s="15" t="s">
        <v>16</v>
      </c>
      <c r="K15" s="16"/>
      <c r="L15" s="16"/>
      <c r="M15" s="28"/>
      <c r="N15" s="2"/>
      <c r="O15" s="2"/>
      <c r="P15" s="2"/>
      <c r="Q15" s="2"/>
      <c r="R15" s="2"/>
      <c r="S15" s="2"/>
      <c r="T15" s="2"/>
      <c r="U15" s="2"/>
      <c r="V15" s="2"/>
    </row>
    <row r="16" spans="1:22" ht="23.25" customHeight="1">
      <c r="A16" s="19"/>
      <c r="B16" s="31"/>
      <c r="C16" s="35"/>
      <c r="D16" s="26"/>
      <c r="E16" s="14" t="s">
        <v>17</v>
      </c>
      <c r="F16" s="16"/>
      <c r="G16" s="16"/>
      <c r="H16" s="26"/>
      <c r="I16" s="26"/>
      <c r="J16" s="15" t="s">
        <v>17</v>
      </c>
      <c r="K16" s="16"/>
      <c r="L16" s="16"/>
      <c r="M16" s="28"/>
      <c r="N16" s="2"/>
      <c r="O16" s="2"/>
      <c r="P16" s="2"/>
      <c r="Q16" s="2"/>
      <c r="R16" s="2"/>
      <c r="S16" s="2"/>
      <c r="T16" s="2"/>
      <c r="U16" s="2"/>
      <c r="V16" s="2"/>
    </row>
    <row r="17" spans="1:22" ht="23.25" customHeight="1">
      <c r="A17" s="21"/>
      <c r="B17" s="33">
        <v>40</v>
      </c>
      <c r="C17" s="20"/>
      <c r="D17" s="51">
        <v>15</v>
      </c>
      <c r="E17" s="14"/>
      <c r="F17" s="14" t="s">
        <v>16</v>
      </c>
      <c r="G17" s="14" t="s">
        <v>17</v>
      </c>
      <c r="H17" s="25">
        <f>(F18+G19)/(D17*2)</f>
        <v>0</v>
      </c>
      <c r="I17" s="51">
        <v>15</v>
      </c>
      <c r="J17" s="15"/>
      <c r="K17" s="15" t="s">
        <v>16</v>
      </c>
      <c r="L17" s="15" t="s">
        <v>17</v>
      </c>
      <c r="M17" s="27">
        <f>(K18+L19)/(I17*2)</f>
        <v>0</v>
      </c>
      <c r="N17" s="2"/>
      <c r="O17" s="2"/>
      <c r="P17" s="2"/>
      <c r="Q17" s="2"/>
      <c r="R17" s="2"/>
      <c r="S17" s="2"/>
      <c r="T17" s="2"/>
      <c r="U17" s="2"/>
      <c r="V17" s="2"/>
    </row>
    <row r="18" spans="1:22" ht="23.25" customHeight="1">
      <c r="A18" s="19"/>
      <c r="B18" s="19"/>
      <c r="C18" s="35"/>
      <c r="D18" s="26"/>
      <c r="E18" s="14" t="s">
        <v>16</v>
      </c>
      <c r="F18" s="16"/>
      <c r="G18" s="16"/>
      <c r="H18" s="26"/>
      <c r="I18" s="26"/>
      <c r="J18" s="15" t="s">
        <v>16</v>
      </c>
      <c r="K18" s="16"/>
      <c r="L18" s="16"/>
      <c r="M18" s="28"/>
      <c r="N18" s="2"/>
      <c r="O18" s="2"/>
      <c r="P18" s="2"/>
      <c r="Q18" s="2"/>
      <c r="R18" s="2"/>
      <c r="S18" s="2"/>
      <c r="T18" s="2"/>
      <c r="U18" s="2"/>
      <c r="V18" s="2"/>
    </row>
    <row r="19" spans="1:22" ht="23.25" customHeight="1">
      <c r="A19" s="19"/>
      <c r="B19" s="19"/>
      <c r="C19" s="35"/>
      <c r="D19" s="26"/>
      <c r="E19" s="14" t="s">
        <v>17</v>
      </c>
      <c r="F19" s="16"/>
      <c r="G19" s="16"/>
      <c r="H19" s="26"/>
      <c r="I19" s="26"/>
      <c r="J19" s="15" t="s">
        <v>17</v>
      </c>
      <c r="K19" s="16"/>
      <c r="L19" s="16"/>
      <c r="M19" s="28"/>
      <c r="N19" s="2"/>
      <c r="O19" s="2"/>
      <c r="P19" s="2"/>
      <c r="Q19" s="2"/>
      <c r="R19" s="2"/>
      <c r="S19" s="2"/>
      <c r="T19" s="2"/>
      <c r="U19" s="2"/>
      <c r="V19" s="2"/>
    </row>
    <row r="20" spans="1:22" ht="23.25" customHeight="1">
      <c r="A20" s="18"/>
      <c r="B20" s="34">
        <v>50</v>
      </c>
      <c r="C20" s="20"/>
      <c r="D20" s="18">
        <v>15</v>
      </c>
      <c r="E20" s="14"/>
      <c r="F20" s="14" t="s">
        <v>16</v>
      </c>
      <c r="G20" s="14" t="s">
        <v>17</v>
      </c>
      <c r="H20" s="25">
        <f>(F21+G22)/(D20*2)</f>
        <v>0</v>
      </c>
      <c r="I20" s="18">
        <v>15</v>
      </c>
      <c r="J20" s="15"/>
      <c r="K20" s="15" t="s">
        <v>16</v>
      </c>
      <c r="L20" s="15" t="s">
        <v>17</v>
      </c>
      <c r="M20" s="27">
        <f>(K21+L22)/(I20*2)</f>
        <v>0</v>
      </c>
      <c r="N20" s="17"/>
      <c r="O20" s="17"/>
      <c r="P20" s="17"/>
      <c r="Q20" s="17"/>
      <c r="R20" s="17"/>
      <c r="S20" s="17"/>
      <c r="T20" s="17"/>
      <c r="U20" s="17"/>
      <c r="V20" s="17"/>
    </row>
    <row r="21" spans="1:22" ht="23.25" customHeight="1">
      <c r="A21" s="19"/>
      <c r="B21" s="19"/>
      <c r="C21" s="35"/>
      <c r="D21" s="52"/>
      <c r="E21" s="14" t="s">
        <v>16</v>
      </c>
      <c r="F21" s="13"/>
      <c r="G21" s="13"/>
      <c r="H21" s="26"/>
      <c r="I21" s="52"/>
      <c r="J21" s="15" t="s">
        <v>16</v>
      </c>
      <c r="K21" s="13"/>
      <c r="L21" s="13"/>
      <c r="M21" s="28"/>
      <c r="N21" s="17"/>
      <c r="O21" s="17"/>
      <c r="P21" s="17"/>
      <c r="Q21" s="17"/>
      <c r="R21" s="17"/>
      <c r="S21" s="17"/>
      <c r="T21" s="17"/>
      <c r="U21" s="17"/>
      <c r="V21" s="17"/>
    </row>
    <row r="22" spans="1:22" ht="23.25" customHeight="1">
      <c r="A22" s="19"/>
      <c r="B22" s="19"/>
      <c r="C22" s="35"/>
      <c r="D22" s="52"/>
      <c r="E22" s="14" t="s">
        <v>17</v>
      </c>
      <c r="F22" s="13"/>
      <c r="G22" s="13"/>
      <c r="H22" s="26"/>
      <c r="I22" s="52"/>
      <c r="J22" s="15" t="s">
        <v>17</v>
      </c>
      <c r="K22" s="13"/>
      <c r="L22" s="13"/>
      <c r="M22" s="28"/>
      <c r="N22" s="17"/>
      <c r="O22" s="17"/>
      <c r="P22" s="17"/>
      <c r="Q22" s="17"/>
      <c r="R22" s="17"/>
      <c r="S22" s="17"/>
      <c r="T22" s="17"/>
      <c r="U22" s="17"/>
      <c r="V22" s="17"/>
    </row>
    <row r="23" spans="1:22" ht="23.25" customHeight="1">
      <c r="A23" s="21"/>
      <c r="B23" s="33">
        <v>75</v>
      </c>
      <c r="C23" s="20"/>
      <c r="D23" s="51">
        <v>15</v>
      </c>
      <c r="E23" s="14"/>
      <c r="F23" s="14" t="s">
        <v>16</v>
      </c>
      <c r="G23" s="14" t="s">
        <v>17</v>
      </c>
      <c r="H23" s="25">
        <f>(F24+G25)/(D23*2)</f>
        <v>0</v>
      </c>
      <c r="I23" s="51">
        <v>15</v>
      </c>
      <c r="J23" s="15"/>
      <c r="K23" s="15" t="s">
        <v>16</v>
      </c>
      <c r="L23" s="15" t="s">
        <v>17</v>
      </c>
      <c r="M23" s="27">
        <f>(K24+L25)/(I23*2)</f>
        <v>0</v>
      </c>
      <c r="N23" s="2"/>
      <c r="O23" s="2"/>
      <c r="P23" s="2"/>
      <c r="Q23" s="2"/>
      <c r="R23" s="2"/>
      <c r="S23" s="2"/>
      <c r="T23" s="2"/>
      <c r="U23" s="2"/>
      <c r="V23" s="2"/>
    </row>
    <row r="24" spans="1:22" ht="23.25" customHeight="1">
      <c r="A24" s="19"/>
      <c r="B24" s="19"/>
      <c r="C24" s="35"/>
      <c r="D24" s="26"/>
      <c r="E24" s="14" t="s">
        <v>16</v>
      </c>
      <c r="F24" s="16"/>
      <c r="G24" s="16"/>
      <c r="H24" s="26"/>
      <c r="I24" s="26"/>
      <c r="J24" s="15" t="s">
        <v>16</v>
      </c>
      <c r="K24" s="13"/>
      <c r="L24" s="13"/>
      <c r="M24" s="28"/>
      <c r="N24" s="2"/>
      <c r="O24" s="2"/>
      <c r="P24" s="2"/>
      <c r="Q24" s="2"/>
      <c r="R24" s="2"/>
      <c r="S24" s="2"/>
      <c r="T24" s="2"/>
      <c r="U24" s="2"/>
      <c r="V24" s="2"/>
    </row>
    <row r="25" spans="1:22" ht="23.25" customHeight="1">
      <c r="A25" s="19"/>
      <c r="B25" s="19"/>
      <c r="C25" s="35"/>
      <c r="D25" s="26"/>
      <c r="E25" s="14" t="s">
        <v>17</v>
      </c>
      <c r="F25" s="16"/>
      <c r="G25" s="16"/>
      <c r="H25" s="26"/>
      <c r="I25" s="26"/>
      <c r="J25" s="15" t="s">
        <v>17</v>
      </c>
      <c r="K25" s="13"/>
      <c r="L25" s="13"/>
      <c r="M25" s="28"/>
      <c r="N25" s="2"/>
      <c r="O25" s="2"/>
      <c r="P25" s="2"/>
      <c r="Q25" s="2"/>
      <c r="R25" s="2"/>
      <c r="S25" s="2"/>
      <c r="T25" s="2"/>
      <c r="U25" s="2"/>
      <c r="V25" s="2"/>
    </row>
    <row r="26" spans="1:22" ht="23.25" customHeight="1">
      <c r="A26" s="22"/>
      <c r="B26" s="33">
        <v>100</v>
      </c>
      <c r="C26" s="20"/>
      <c r="D26" s="51">
        <v>15</v>
      </c>
      <c r="E26" s="14"/>
      <c r="F26" s="14" t="s">
        <v>16</v>
      </c>
      <c r="G26" s="14" t="s">
        <v>17</v>
      </c>
      <c r="H26" s="25">
        <f>(F27+G28)/(D26*2)</f>
        <v>0</v>
      </c>
      <c r="I26" s="51">
        <v>15</v>
      </c>
      <c r="J26" s="15"/>
      <c r="K26" s="15" t="s">
        <v>16</v>
      </c>
      <c r="L26" s="15" t="s">
        <v>17</v>
      </c>
      <c r="M26" s="27">
        <f>(K27+L28)/(I26*2)</f>
        <v>0</v>
      </c>
      <c r="N26" s="2"/>
      <c r="O26" s="2"/>
      <c r="P26" s="2"/>
      <c r="Q26" s="2"/>
      <c r="R26" s="2"/>
      <c r="S26" s="2"/>
      <c r="T26" s="2"/>
      <c r="U26" s="2"/>
      <c r="V26" s="2"/>
    </row>
    <row r="27" spans="1:22" ht="23.25" customHeight="1">
      <c r="A27" s="19"/>
      <c r="B27" s="19"/>
      <c r="C27" s="35"/>
      <c r="D27" s="26"/>
      <c r="E27" s="14" t="s">
        <v>16</v>
      </c>
      <c r="F27" s="16"/>
      <c r="G27" s="16"/>
      <c r="H27" s="26"/>
      <c r="I27" s="26"/>
      <c r="J27" s="15" t="s">
        <v>16</v>
      </c>
      <c r="K27" s="13"/>
      <c r="L27" s="13"/>
      <c r="M27" s="28"/>
      <c r="N27" s="2"/>
      <c r="O27" s="2"/>
      <c r="P27" s="2"/>
      <c r="Q27" s="2"/>
      <c r="R27" s="2"/>
      <c r="S27" s="2"/>
      <c r="T27" s="2"/>
      <c r="U27" s="2"/>
      <c r="V27" s="2"/>
    </row>
    <row r="28" spans="1:22" ht="23.25" customHeight="1">
      <c r="A28" s="19"/>
      <c r="B28" s="19"/>
      <c r="C28" s="35"/>
      <c r="D28" s="26"/>
      <c r="E28" s="14" t="s">
        <v>17</v>
      </c>
      <c r="F28" s="16"/>
      <c r="G28" s="16"/>
      <c r="H28" s="26"/>
      <c r="I28" s="26"/>
      <c r="J28" s="15" t="s">
        <v>17</v>
      </c>
      <c r="K28" s="13"/>
      <c r="L28" s="13"/>
      <c r="M28" s="28"/>
      <c r="N28" s="2"/>
      <c r="O28" s="2"/>
      <c r="P28" s="2"/>
      <c r="Q28" s="2"/>
      <c r="R28" s="2"/>
      <c r="S28" s="2"/>
      <c r="T28" s="2"/>
      <c r="U28" s="2"/>
      <c r="V28" s="2"/>
    </row>
    <row r="29" spans="1:22" ht="23.25" customHeight="1">
      <c r="A29" s="21"/>
      <c r="B29" s="33">
        <v>125</v>
      </c>
      <c r="C29" s="20"/>
      <c r="D29" s="51">
        <v>15</v>
      </c>
      <c r="E29" s="14"/>
      <c r="F29" s="14" t="s">
        <v>16</v>
      </c>
      <c r="G29" s="14" t="s">
        <v>17</v>
      </c>
      <c r="H29" s="25">
        <f>(F30+G31)/(D29*2)</f>
        <v>0</v>
      </c>
      <c r="I29" s="51">
        <v>15</v>
      </c>
      <c r="J29" s="15"/>
      <c r="K29" s="15" t="s">
        <v>16</v>
      </c>
      <c r="L29" s="15" t="s">
        <v>17</v>
      </c>
      <c r="M29" s="27">
        <f>(K30+L31)/(I29*2)</f>
        <v>0</v>
      </c>
      <c r="N29" s="2"/>
      <c r="O29" s="2"/>
      <c r="P29" s="2"/>
      <c r="Q29" s="2"/>
      <c r="R29" s="2"/>
      <c r="S29" s="2"/>
      <c r="T29" s="2"/>
      <c r="U29" s="2"/>
      <c r="V29" s="2"/>
    </row>
    <row r="30" spans="1:22" ht="23.25" customHeight="1">
      <c r="A30" s="19"/>
      <c r="B30" s="19"/>
      <c r="C30" s="35"/>
      <c r="D30" s="26"/>
      <c r="E30" s="14" t="s">
        <v>16</v>
      </c>
      <c r="F30" s="16"/>
      <c r="G30" s="16"/>
      <c r="H30" s="26"/>
      <c r="I30" s="26"/>
      <c r="J30" s="15" t="s">
        <v>16</v>
      </c>
      <c r="K30" s="13"/>
      <c r="L30" s="13"/>
      <c r="M30" s="28"/>
      <c r="N30" s="2"/>
      <c r="O30" s="2"/>
      <c r="P30" s="2"/>
      <c r="Q30" s="2"/>
      <c r="R30" s="2"/>
      <c r="S30" s="2"/>
      <c r="T30" s="2"/>
      <c r="U30" s="2"/>
      <c r="V30" s="2"/>
    </row>
    <row r="31" spans="1:22" ht="23.25" customHeight="1">
      <c r="A31" s="19"/>
      <c r="B31" s="19"/>
      <c r="C31" s="35"/>
      <c r="D31" s="26"/>
      <c r="E31" s="14" t="s">
        <v>17</v>
      </c>
      <c r="F31" s="16"/>
      <c r="G31" s="16"/>
      <c r="H31" s="26"/>
      <c r="I31" s="26"/>
      <c r="J31" s="15" t="s">
        <v>17</v>
      </c>
      <c r="K31" s="13"/>
      <c r="L31" s="13"/>
      <c r="M31" s="28"/>
      <c r="N31" s="2"/>
      <c r="O31" s="2"/>
      <c r="P31" s="2"/>
      <c r="Q31" s="2"/>
      <c r="R31" s="2"/>
      <c r="S31" s="2"/>
      <c r="T31" s="2"/>
      <c r="U31" s="2"/>
      <c r="V31" s="2"/>
    </row>
    <row r="32" spans="1:22" ht="23.25" customHeight="1">
      <c r="A32" s="21"/>
      <c r="B32" s="33">
        <v>150</v>
      </c>
      <c r="C32" s="20"/>
      <c r="D32" s="51">
        <v>15</v>
      </c>
      <c r="E32" s="14"/>
      <c r="F32" s="14" t="s">
        <v>16</v>
      </c>
      <c r="G32" s="14" t="s">
        <v>17</v>
      </c>
      <c r="H32" s="25">
        <f>(F33+G34)/(D32*2)</f>
        <v>0</v>
      </c>
      <c r="I32" s="51">
        <v>15</v>
      </c>
      <c r="J32" s="15"/>
      <c r="K32" s="15" t="s">
        <v>16</v>
      </c>
      <c r="L32" s="15" t="s">
        <v>17</v>
      </c>
      <c r="M32" s="27">
        <f>(K33+L34)/(I32*2)</f>
        <v>0</v>
      </c>
      <c r="N32" s="2"/>
      <c r="O32" s="2"/>
      <c r="P32" s="2"/>
      <c r="Q32" s="2"/>
      <c r="R32" s="2"/>
      <c r="S32" s="2"/>
      <c r="T32" s="2"/>
      <c r="U32" s="2"/>
      <c r="V32" s="2"/>
    </row>
    <row r="33" spans="1:22" ht="23.25" customHeight="1">
      <c r="A33" s="19"/>
      <c r="B33" s="19"/>
      <c r="C33" s="35"/>
      <c r="D33" s="26"/>
      <c r="E33" s="14" t="s">
        <v>16</v>
      </c>
      <c r="F33" s="16"/>
      <c r="G33" s="16"/>
      <c r="H33" s="26"/>
      <c r="I33" s="26"/>
      <c r="J33" s="15" t="s">
        <v>16</v>
      </c>
      <c r="K33" s="13"/>
      <c r="L33" s="13"/>
      <c r="M33" s="28"/>
      <c r="N33" s="2"/>
      <c r="O33" s="2"/>
      <c r="P33" s="2"/>
      <c r="Q33" s="2"/>
      <c r="R33" s="2"/>
      <c r="S33" s="2"/>
      <c r="T33" s="2"/>
      <c r="U33" s="2"/>
      <c r="V33" s="2"/>
    </row>
    <row r="34" spans="1:22" ht="23.25" customHeight="1">
      <c r="A34" s="19"/>
      <c r="B34" s="19"/>
      <c r="C34" s="35"/>
      <c r="D34" s="26"/>
      <c r="E34" s="14" t="s">
        <v>17</v>
      </c>
      <c r="F34" s="16"/>
      <c r="G34" s="16"/>
      <c r="H34" s="26"/>
      <c r="I34" s="26"/>
      <c r="J34" s="15" t="s">
        <v>17</v>
      </c>
      <c r="K34" s="13"/>
      <c r="L34" s="13"/>
      <c r="M34" s="28"/>
      <c r="N34" s="2"/>
      <c r="O34" s="2"/>
      <c r="P34" s="2"/>
      <c r="Q34" s="2"/>
      <c r="R34" s="2"/>
      <c r="S34" s="2"/>
      <c r="T34" s="2"/>
      <c r="U34" s="2"/>
      <c r="V34" s="2"/>
    </row>
    <row r="35" spans="1:22" ht="23.25" customHeight="1">
      <c r="A35" s="21"/>
      <c r="B35" s="33">
        <v>175</v>
      </c>
      <c r="C35" s="20"/>
      <c r="D35" s="51">
        <v>15</v>
      </c>
      <c r="E35" s="14"/>
      <c r="F35" s="14" t="s">
        <v>16</v>
      </c>
      <c r="G35" s="14" t="s">
        <v>17</v>
      </c>
      <c r="H35" s="25">
        <f>(F36+G37)/(D35*2)</f>
        <v>0</v>
      </c>
      <c r="I35" s="51">
        <v>15</v>
      </c>
      <c r="J35" s="15"/>
      <c r="K35" s="15" t="s">
        <v>16</v>
      </c>
      <c r="L35" s="15" t="s">
        <v>17</v>
      </c>
      <c r="M35" s="27">
        <f>(K36+L37)/(I35*2)</f>
        <v>0</v>
      </c>
      <c r="N35" s="2"/>
      <c r="O35" s="23" t="s">
        <v>18</v>
      </c>
      <c r="P35" s="24">
        <f>AVERAGE(M8:M36)</f>
        <v>0</v>
      </c>
      <c r="Q35" s="2"/>
      <c r="R35" s="2"/>
      <c r="S35" s="2"/>
      <c r="T35" s="2"/>
      <c r="U35" s="2"/>
      <c r="V35" s="2"/>
    </row>
    <row r="36" spans="1:22" ht="23.25" customHeight="1">
      <c r="A36" s="19"/>
      <c r="B36" s="19"/>
      <c r="C36" s="35"/>
      <c r="D36" s="26"/>
      <c r="E36" s="14" t="s">
        <v>16</v>
      </c>
      <c r="F36" s="16"/>
      <c r="G36" s="16"/>
      <c r="H36" s="26"/>
      <c r="I36" s="26"/>
      <c r="J36" s="15" t="s">
        <v>16</v>
      </c>
      <c r="K36" s="13"/>
      <c r="L36" s="13"/>
      <c r="M36" s="28"/>
      <c r="N36" s="2"/>
      <c r="O36" s="19"/>
      <c r="P36" s="19"/>
      <c r="Q36" s="2"/>
      <c r="R36" s="2"/>
      <c r="S36" s="2"/>
      <c r="T36" s="2"/>
      <c r="U36" s="2"/>
      <c r="V36" s="2"/>
    </row>
    <row r="37" spans="1:22" ht="23.25" customHeight="1">
      <c r="A37" s="19"/>
      <c r="B37" s="19"/>
      <c r="C37" s="35"/>
      <c r="D37" s="26"/>
      <c r="E37" s="14" t="s">
        <v>17</v>
      </c>
      <c r="F37" s="16"/>
      <c r="G37" s="16"/>
      <c r="H37" s="26"/>
      <c r="I37" s="26"/>
      <c r="J37" s="15" t="s">
        <v>17</v>
      </c>
      <c r="K37" s="13"/>
      <c r="L37" s="13"/>
      <c r="M37" s="28"/>
      <c r="N37" s="2"/>
      <c r="O37" s="19"/>
      <c r="P37" s="19"/>
      <c r="Q37" s="2"/>
      <c r="R37" s="2"/>
      <c r="S37" s="2"/>
      <c r="T37" s="2"/>
      <c r="U37" s="2"/>
      <c r="V37" s="2"/>
    </row>
    <row r="38" spans="1:22" ht="20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20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20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20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20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20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20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20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20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20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20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20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20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20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20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20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20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20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20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20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20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20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20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20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20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20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20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20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20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20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20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20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20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20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20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20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20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20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20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20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20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20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20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20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20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20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20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20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20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20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20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20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20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20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20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20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20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20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20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20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20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20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20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20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20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20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20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20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20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20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20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20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20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20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20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20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20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20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20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20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20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20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20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20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20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20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20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20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20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20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20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20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20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20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20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20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20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20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20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20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20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20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20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20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20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20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20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20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20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20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20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20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20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20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20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20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20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20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20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20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20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20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20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20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20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20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20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20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20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20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20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20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20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20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20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20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20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20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20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20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20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20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20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20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20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20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20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20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20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20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20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20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20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20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20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20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20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20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20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20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20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20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</sheetData>
  <mergeCells count="86">
    <mergeCell ref="I20:I22"/>
    <mergeCell ref="I23:I25"/>
    <mergeCell ref="I26:I28"/>
    <mergeCell ref="I29:I31"/>
    <mergeCell ref="I32:I34"/>
    <mergeCell ref="D20:D22"/>
    <mergeCell ref="D23:D25"/>
    <mergeCell ref="D26:D28"/>
    <mergeCell ref="D29:D31"/>
    <mergeCell ref="D32:D34"/>
    <mergeCell ref="I5:I7"/>
    <mergeCell ref="M5:M7"/>
    <mergeCell ref="D11:D13"/>
    <mergeCell ref="D14:D16"/>
    <mergeCell ref="D17:D19"/>
    <mergeCell ref="I11:I13"/>
    <mergeCell ref="I14:I16"/>
    <mergeCell ref="I17:I19"/>
    <mergeCell ref="A5:A7"/>
    <mergeCell ref="B5:B7"/>
    <mergeCell ref="C5:C7"/>
    <mergeCell ref="D5:D7"/>
    <mergeCell ref="H5:H7"/>
    <mergeCell ref="B1:M1"/>
    <mergeCell ref="A3:A4"/>
    <mergeCell ref="B3:C3"/>
    <mergeCell ref="D3:H3"/>
    <mergeCell ref="I3:M3"/>
    <mergeCell ref="F4:G4"/>
    <mergeCell ref="K4:L4"/>
    <mergeCell ref="C14:C16"/>
    <mergeCell ref="C17:C19"/>
    <mergeCell ref="C20:C22"/>
    <mergeCell ref="C23:C25"/>
    <mergeCell ref="C26:C28"/>
    <mergeCell ref="B14:B16"/>
    <mergeCell ref="B11:B13"/>
    <mergeCell ref="B8:B10"/>
    <mergeCell ref="B35:B37"/>
    <mergeCell ref="B32:B34"/>
    <mergeCell ref="B29:B31"/>
    <mergeCell ref="B26:B28"/>
    <mergeCell ref="B23:B25"/>
    <mergeCell ref="B20:B22"/>
    <mergeCell ref="B17:B19"/>
    <mergeCell ref="M23:M25"/>
    <mergeCell ref="M26:M28"/>
    <mergeCell ref="M29:M31"/>
    <mergeCell ref="M32:M34"/>
    <mergeCell ref="M35:M37"/>
    <mergeCell ref="M8:M10"/>
    <mergeCell ref="M11:M13"/>
    <mergeCell ref="M14:M16"/>
    <mergeCell ref="M17:M19"/>
    <mergeCell ref="M20:M22"/>
    <mergeCell ref="H14:H16"/>
    <mergeCell ref="H17:H19"/>
    <mergeCell ref="H20:H22"/>
    <mergeCell ref="H23:H25"/>
    <mergeCell ref="H26:H28"/>
    <mergeCell ref="A29:A31"/>
    <mergeCell ref="A32:A34"/>
    <mergeCell ref="A35:A37"/>
    <mergeCell ref="O35:O37"/>
    <mergeCell ref="P35:P37"/>
    <mergeCell ref="H29:H31"/>
    <mergeCell ref="H32:H34"/>
    <mergeCell ref="H35:H37"/>
    <mergeCell ref="C29:C31"/>
    <mergeCell ref="C32:C34"/>
    <mergeCell ref="C35:C37"/>
    <mergeCell ref="D35:D37"/>
    <mergeCell ref="I35:I37"/>
    <mergeCell ref="A14:A16"/>
    <mergeCell ref="A17:A19"/>
    <mergeCell ref="A20:A22"/>
    <mergeCell ref="A23:A25"/>
    <mergeCell ref="A26:A28"/>
    <mergeCell ref="A8:A10"/>
    <mergeCell ref="C8:C10"/>
    <mergeCell ref="D8:D10"/>
    <mergeCell ref="I8:I10"/>
    <mergeCell ref="A11:A13"/>
    <mergeCell ref="H8:H10"/>
    <mergeCell ref="H11:H13"/>
    <mergeCell ref="C11:C13"/>
  </mergeCells>
  <phoneticPr fontId="9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豹猫与美洲豹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 user</cp:lastModifiedBy>
  <dcterms:created xsi:type="dcterms:W3CDTF">2025-12-06T16:30:34Z</dcterms:created>
  <dcterms:modified xsi:type="dcterms:W3CDTF">2025-12-06T08:31:15Z</dcterms:modified>
</cp:coreProperties>
</file>